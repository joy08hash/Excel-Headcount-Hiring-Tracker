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hosh\Downloads\"/>
    </mc:Choice>
  </mc:AlternateContent>
  <xr:revisionPtr revIDLastSave="0" documentId="8_{3E723DE2-7ABC-493D-893F-18D46012B2D7}" xr6:coauthVersionLast="47" xr6:coauthVersionMax="47" xr10:uidLastSave="{00000000-0000-0000-0000-000000000000}"/>
  <bookViews>
    <workbookView xWindow="-110" yWindow="-110" windowWidth="19420" windowHeight="10300" tabRatio="500" firstSheet="3" activeTab="3" xr2:uid="{00000000-000D-0000-FFFF-FFFF00000000}"/>
  </bookViews>
  <sheets>
    <sheet name="Roles by Department" sheetId="4" r:id="rId1"/>
    <sheet name="Avg Days by Recruiter" sheetId="5" r:id="rId2"/>
    <sheet name="Hiring_Data" sheetId="1" r:id="rId3"/>
    <sheet name="Summary_Dashboard" sheetId="2" r:id="rId4"/>
    <sheet name="Lookup_Tables" sheetId="3" r:id="rId5"/>
  </sheets>
  <calcPr calcId="191029" iterateDelta="1E-4"/>
  <pivotCaches>
    <pivotCache cacheId="5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5" i="1"/>
  <c r="D23" i="2"/>
  <c r="C23" i="2"/>
  <c r="B23" i="2"/>
  <c r="D22" i="2"/>
  <c r="C22" i="2"/>
  <c r="B22" i="2"/>
  <c r="D21" i="2"/>
  <c r="C21" i="2"/>
  <c r="B21" i="2"/>
  <c r="I20" i="2"/>
  <c r="H20" i="2"/>
  <c r="G20" i="2"/>
  <c r="D20" i="2"/>
  <c r="C20" i="2"/>
  <c r="B20" i="2"/>
  <c r="I19" i="2"/>
  <c r="H19" i="2"/>
  <c r="G19" i="2"/>
  <c r="D19" i="2"/>
  <c r="C19" i="2"/>
  <c r="B19" i="2"/>
  <c r="C15" i="2"/>
  <c r="B15" i="2"/>
  <c r="C14" i="2"/>
  <c r="B14" i="2"/>
  <c r="C13" i="2"/>
  <c r="B13" i="2"/>
  <c r="H12" i="2"/>
  <c r="G12" i="2"/>
  <c r="C12" i="2"/>
  <c r="B12" i="2"/>
  <c r="H11" i="2"/>
  <c r="G11" i="2"/>
  <c r="C11" i="2"/>
  <c r="B11" i="2"/>
  <c r="H10" i="2"/>
  <c r="G10" i="2"/>
  <c r="C10" i="2"/>
  <c r="B10" i="2"/>
  <c r="H9" i="2"/>
  <c r="G9" i="2"/>
  <c r="C9" i="2"/>
  <c r="B9" i="2"/>
  <c r="G5" i="2"/>
  <c r="F5" i="2"/>
  <c r="D5" i="2"/>
  <c r="C5" i="2"/>
  <c r="B5" i="2"/>
  <c r="A5" i="2"/>
  <c r="I24" i="1"/>
  <c r="I23" i="1"/>
  <c r="I22" i="1"/>
  <c r="I21" i="1"/>
  <c r="I20" i="1"/>
  <c r="I19" i="1"/>
  <c r="I18" i="1"/>
  <c r="D15" i="2" s="1"/>
  <c r="I17" i="1"/>
  <c r="I16" i="1"/>
  <c r="I15" i="1"/>
  <c r="I14" i="1"/>
  <c r="I13" i="1"/>
  <c r="D14" i="2" s="1"/>
  <c r="I12" i="1"/>
  <c r="I12" i="2" s="1"/>
  <c r="I11" i="1"/>
  <c r="I10" i="1"/>
  <c r="I9" i="1"/>
  <c r="D12" i="2" s="1"/>
  <c r="I8" i="1"/>
  <c r="I7" i="1"/>
  <c r="I11" i="2" s="1"/>
  <c r="I6" i="1"/>
  <c r="I10" i="2" s="1"/>
  <c r="I5" i="1"/>
  <c r="I9" i="2" s="1"/>
  <c r="D9" i="2" l="1"/>
  <c r="D11" i="2"/>
  <c r="D13" i="2"/>
  <c r="D10" i="2"/>
  <c r="E5" i="2"/>
</calcChain>
</file>

<file path=xl/sharedStrings.xml><?xml version="1.0" encoding="utf-8"?>
<sst xmlns="http://schemas.openxmlformats.org/spreadsheetml/2006/main" count="343" uniqueCount="132">
  <si>
    <t>Job ID</t>
  </si>
  <si>
    <t>Role Title</t>
  </si>
  <si>
    <t>Department</t>
  </si>
  <si>
    <t>Location</t>
  </si>
  <si>
    <t>Recruiter</t>
  </si>
  <si>
    <t>Date Opened</t>
  </si>
  <si>
    <t>Date Filled</t>
  </si>
  <si>
    <t>Status</t>
  </si>
  <si>
    <t>Days to Fill</t>
  </si>
  <si>
    <t>Salary Band</t>
  </si>
  <si>
    <t>Hire Type</t>
  </si>
  <si>
    <t>Source</t>
  </si>
  <si>
    <t>Quarter</t>
  </si>
  <si>
    <t>Filled?</t>
  </si>
  <si>
    <t>Notes</t>
  </si>
  <si>
    <t>JOB-001</t>
  </si>
  <si>
    <t>Data Analyst</t>
  </si>
  <si>
    <t>Finance</t>
  </si>
  <si>
    <t>New York</t>
  </si>
  <si>
    <t>Sarah Kim</t>
  </si>
  <si>
    <t>Filled</t>
  </si>
  <si>
    <t>L3</t>
  </si>
  <si>
    <t>Full-Time</t>
  </si>
  <si>
    <t>LinkedIn</t>
  </si>
  <si>
    <t>Q1</t>
  </si>
  <si>
    <t>Yes</t>
  </si>
  <si>
    <t>Strong pipeline</t>
  </si>
  <si>
    <t>JOB-002</t>
  </si>
  <si>
    <t>Software Engineer II</t>
  </si>
  <si>
    <t>Engineering</t>
  </si>
  <si>
    <t>Remote</t>
  </si>
  <si>
    <t>Mike Torres</t>
  </si>
  <si>
    <t>L4</t>
  </si>
  <si>
    <t>Referral</t>
  </si>
  <si>
    <t>Took longer — niche skills</t>
  </si>
  <si>
    <t>JOB-003</t>
  </si>
  <si>
    <t>HR Business Partner</t>
  </si>
  <si>
    <t>HR</t>
  </si>
  <si>
    <t>Chicago</t>
  </si>
  <si>
    <t>Linda Marsh</t>
  </si>
  <si>
    <t>Indeed</t>
  </si>
  <si>
    <t>JOB-004</t>
  </si>
  <si>
    <t>Sales Executive</t>
  </si>
  <si>
    <t>Sales</t>
  </si>
  <si>
    <t>Dallas</t>
  </si>
  <si>
    <t>James Obi</t>
  </si>
  <si>
    <t>Open</t>
  </si>
  <si>
    <t>No</t>
  </si>
  <si>
    <t>2 finalists in review</t>
  </si>
  <si>
    <t>JOB-005</t>
  </si>
  <si>
    <t>Marketing Manager</t>
  </si>
  <si>
    <t>Marketing</t>
  </si>
  <si>
    <t>JOB-006</t>
  </si>
  <si>
    <t>DevOps Engineer</t>
  </si>
  <si>
    <t>GitHub Jobs</t>
  </si>
  <si>
    <t>Offer rejected once</t>
  </si>
  <si>
    <t>JOB-007</t>
  </si>
  <si>
    <t>Accountant</t>
  </si>
  <si>
    <t>L2</t>
  </si>
  <si>
    <t>JOB-008</t>
  </si>
  <si>
    <t>Customer Success Mgr</t>
  </si>
  <si>
    <t>Operations</t>
  </si>
  <si>
    <t>Austin</t>
  </si>
  <si>
    <t>Internal referral</t>
  </si>
  <si>
    <t>JOB-009</t>
  </si>
  <si>
    <t>Product Manager</t>
  </si>
  <si>
    <t>Product</t>
  </si>
  <si>
    <t>San Francisco</t>
  </si>
  <si>
    <t>L5</t>
  </si>
  <si>
    <t>Q2</t>
  </si>
  <si>
    <t>Competitive offer</t>
  </si>
  <si>
    <t>JOB-010</t>
  </si>
  <si>
    <t>UX Designer</t>
  </si>
  <si>
    <t>Dribbble</t>
  </si>
  <si>
    <t>JOB-011</t>
  </si>
  <si>
    <t>Data Engineer</t>
  </si>
  <si>
    <t>Technical screen stage</t>
  </si>
  <si>
    <t>JOB-012</t>
  </si>
  <si>
    <t>JOB-013</t>
  </si>
  <si>
    <t>Business Analyst</t>
  </si>
  <si>
    <t>Contract</t>
  </si>
  <si>
    <t>Contract-to-hire</t>
  </si>
  <si>
    <t>JOB-014</t>
  </si>
  <si>
    <t>Sales Development Rep</t>
  </si>
  <si>
    <t>L1</t>
  </si>
  <si>
    <t>Fast fill</t>
  </si>
  <si>
    <t>JOB-015</t>
  </si>
  <si>
    <t>Cloud Architect</t>
  </si>
  <si>
    <t>Senior-level, slow pipeline</t>
  </si>
  <si>
    <t>JOB-016</t>
  </si>
  <si>
    <t>Content Strategist</t>
  </si>
  <si>
    <t>JOB-017</t>
  </si>
  <si>
    <t>Finance Manager</t>
  </si>
  <si>
    <t>Final interviews</t>
  </si>
  <si>
    <t>JOB-018</t>
  </si>
  <si>
    <t>Operations Analyst</t>
  </si>
  <si>
    <t>Phone screens</t>
  </si>
  <si>
    <t>JOB-019</t>
  </si>
  <si>
    <t>ML Engineer</t>
  </si>
  <si>
    <t>New headcount approval</t>
  </si>
  <si>
    <t>JOB-020</t>
  </si>
  <si>
    <t>Talent Acquisition Spec</t>
  </si>
  <si>
    <t>KEY METRICS</t>
  </si>
  <si>
    <t>Total Roles</t>
  </si>
  <si>
    <t>Fill Rate</t>
  </si>
  <si>
    <t>Avg Days to Fill</t>
  </si>
  <si>
    <t xml:space="preserve">  Roles by Department</t>
  </si>
  <si>
    <t xml:space="preserve">  Recruiter Performance</t>
  </si>
  <si>
    <t>Total Assigned</t>
  </si>
  <si>
    <t>Avg Days</t>
  </si>
  <si>
    <t xml:space="preserve">  Hiring Source Breakdown</t>
  </si>
  <si>
    <t xml:space="preserve">  Quarterly Summary</t>
  </si>
  <si>
    <t>Total</t>
  </si>
  <si>
    <t>REFERENCE TABLES</t>
  </si>
  <si>
    <t>Min Salary</t>
  </si>
  <si>
    <t>Max Salary</t>
  </si>
  <si>
    <t>Team</t>
  </si>
  <si>
    <t>Corp Recruiting</t>
  </si>
  <si>
    <t>Tech Recruiting</t>
  </si>
  <si>
    <t>HR Recruiting</t>
  </si>
  <si>
    <t>Sales &amp; Ops</t>
  </si>
  <si>
    <t>HR Analytics | People Operations | Last Updated: June 2026</t>
  </si>
  <si>
    <t>HEADCOUNT &amp; HIRING TRACKER — FY 2026</t>
  </si>
  <si>
    <t>Row Labels</t>
  </si>
  <si>
    <t>Grand Total</t>
  </si>
  <si>
    <t>Departments</t>
  </si>
  <si>
    <t>Average of Days to Fill</t>
  </si>
  <si>
    <t>HIRING SUMMARY DASHBOARD — FY 2026</t>
  </si>
  <si>
    <t>KEY INSIGHTS</t>
  </si>
  <si>
    <t>2. Linda Marsh fills roles fastest at 32.7 days — best performer</t>
  </si>
  <si>
    <t>3. Q1 had an 88% fill rate vs 50% in Q2 — hiring slowed down</t>
  </si>
  <si>
    <t>1. Engineering has the most open roles (3) — priority hiring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</si>
</sst>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0.0%"/>
    <numFmt numFmtId="166" formatCode="0.0"/>
    <numFmt numFmtId="167" formatCode="\$#,##0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9"/>
      <color rgb="FF7F7F7F"/>
      <name val="Arial"/>
      <charset val="1"/>
    </font>
    <font>
      <b/>
      <sz val="16"/>
      <color rgb="FF2E75B6"/>
      <name val="Arial"/>
      <charset val="1"/>
    </font>
    <font>
      <b/>
      <sz val="10"/>
      <color rgb="FF404040"/>
      <name val="Arial"/>
      <charset val="1"/>
    </font>
    <font>
      <b/>
      <sz val="13"/>
      <color rgb="FFFFFFFF"/>
      <name val="Arial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00B0A0"/>
        <bgColor rgb="FF33CCCC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1" fontId="4" fillId="7" borderId="1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1" fontId="4" fillId="8" borderId="1" xfId="0" applyNumberFormat="1" applyFont="1" applyFill="1" applyBorder="1" applyAlignment="1">
      <alignment horizontal="center"/>
    </xf>
    <xf numFmtId="166" fontId="4" fillId="8" borderId="1" xfId="0" applyNumberFormat="1" applyFont="1" applyFill="1" applyBorder="1" applyAlignment="1">
      <alignment horizontal="center"/>
    </xf>
    <xf numFmtId="9" fontId="4" fillId="7" borderId="1" xfId="0" applyNumberFormat="1" applyFont="1" applyFill="1" applyBorder="1" applyAlignment="1">
      <alignment horizontal="center"/>
    </xf>
    <xf numFmtId="9" fontId="4" fillId="8" borderId="1" xfId="0" applyNumberFormat="1" applyFont="1" applyFill="1" applyBorder="1" applyAlignment="1">
      <alignment horizontal="center"/>
    </xf>
    <xf numFmtId="167" fontId="4" fillId="7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10" fillId="3" borderId="0" xfId="0" applyFont="1" applyFill="1" applyAlignment="1">
      <alignment horizontal="center" vertical="center" wrapText="1"/>
    </xf>
    <xf numFmtId="0" fontId="9" fillId="0" borderId="2" xfId="0" applyNumberFormat="1" applyFont="1" applyFill="1" applyBorder="1"/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numFmt numFmtId="2" formatCode="0.00"/>
    </dxf>
    <dxf>
      <numFmt numFmtId="166" formatCode="0.0"/>
    </dxf>
    <dxf>
      <numFmt numFmtId="2" formatCode="0.00"/>
    </dxf>
    <dxf>
      <numFmt numFmtId="168" formatCode="0.000"/>
    </dxf>
    <dxf>
      <numFmt numFmtId="168" formatCode="0.000"/>
    </dxf>
    <dxf>
      <font>
        <b/>
        <color rgb="FF833C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[Joydip_Hiring Tracker Excel Project 1.xlsx]Avg Days by Recruiter!PivotTable2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 Fill by Recruiter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Days by Recruiter'!$B$3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Days by Recruiter'!$A$4:$A$8</c:f>
              <c:strCache>
                <c:ptCount val="4"/>
                <c:pt idx="0">
                  <c:v>James Obi</c:v>
                </c:pt>
                <c:pt idx="1">
                  <c:v>Linda Marsh</c:v>
                </c:pt>
                <c:pt idx="2">
                  <c:v>Mike Torres</c:v>
                </c:pt>
                <c:pt idx="3">
                  <c:v>Sarah Kim</c:v>
                </c:pt>
              </c:strCache>
            </c:strRef>
          </c:cat>
          <c:val>
            <c:numRef>
              <c:f>'Avg Days by Recruiter'!$B$4:$B$8</c:f>
              <c:numCache>
                <c:formatCode>0.0</c:formatCode>
                <c:ptCount val="4"/>
                <c:pt idx="0">
                  <c:v>35</c:v>
                </c:pt>
                <c:pt idx="1">
                  <c:v>32.666666666666664</c:v>
                </c:pt>
                <c:pt idx="2">
                  <c:v>57</c:v>
                </c:pt>
                <c:pt idx="3">
                  <c:v>37.799999999999997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5-4C38-985C-522D9DB51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245888"/>
        <c:axId val="1988246848"/>
      </c:barChart>
      <c:catAx>
        <c:axId val="19882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46848"/>
        <c:crosses val="autoZero"/>
        <c:auto val="1"/>
        <c:lblAlgn val="ctr"/>
        <c:lblOffset val="100"/>
        <c:noMultiLvlLbl val="0"/>
      </c:catAx>
      <c:valAx>
        <c:axId val="19882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2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</xdr:row>
      <xdr:rowOff>50800</xdr:rowOff>
    </xdr:from>
    <xdr:to>
      <xdr:col>9</xdr:col>
      <xdr:colOff>374650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069DB-6DCA-7CEF-7B80-84C165518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osh" refreshedDate="46201.038259143519" createdVersion="8" refreshedVersion="8" minRefreshableVersion="3" recordCount="20" xr:uid="{CF67D69D-FEF8-4B04-87B7-423D0B3A6AA9}">
  <cacheSource type="worksheet">
    <worksheetSource ref="A4:O24" sheet="Hiring_Data"/>
  </cacheSource>
  <cacheFields count="15">
    <cacheField name="Job ID" numFmtId="0">
      <sharedItems/>
    </cacheField>
    <cacheField name="Role Title" numFmtId="0">
      <sharedItems/>
    </cacheField>
    <cacheField name="Department" numFmtId="0">
      <sharedItems count="7">
        <s v="Finance"/>
        <s v="Engineering"/>
        <s v="HR"/>
        <s v="Sales"/>
        <s v="Marketing"/>
        <s v="Operations"/>
        <s v="Product"/>
      </sharedItems>
    </cacheField>
    <cacheField name="Location" numFmtId="0">
      <sharedItems/>
    </cacheField>
    <cacheField name="Recruiter" numFmtId="0">
      <sharedItems count="4">
        <s v="Sarah Kim"/>
        <s v="Mike Torres"/>
        <s v="Linda Marsh"/>
        <s v="James Obi"/>
      </sharedItems>
    </cacheField>
    <cacheField name="Date Opened" numFmtId="164">
      <sharedItems containsSemiMixedTypes="0" containsNonDate="0" containsDate="1" containsString="0" minDate="2024-01-08T00:00:00" maxDate="2024-06-16T00:00:00"/>
    </cacheField>
    <cacheField name="Date Filled" numFmtId="0">
      <sharedItems containsNonDate="0" containsDate="1" containsString="0" containsBlank="1" minDate="2024-02-14T00:00:00" maxDate="2024-06-15T00:00:00"/>
    </cacheField>
    <cacheField name="Status" numFmtId="0">
      <sharedItems/>
    </cacheField>
    <cacheField name="Days to Fill" numFmtId="1">
      <sharedItems containsMixedTypes="1" containsNumber="1" containsInteger="1" minValue="27" maxValue="67"/>
    </cacheField>
    <cacheField name="Salary Band" numFmtId="0">
      <sharedItems/>
    </cacheField>
    <cacheField name="Hire Type" numFmtId="0">
      <sharedItems/>
    </cacheField>
    <cacheField name="Source" numFmtId="0">
      <sharedItems/>
    </cacheField>
    <cacheField name="Quarter" numFmtId="0">
      <sharedItems/>
    </cacheField>
    <cacheField name="Filled?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JOB-001"/>
    <s v="Data Analyst"/>
    <x v="0"/>
    <s v="New York"/>
    <x v="0"/>
    <d v="2024-01-08T00:00:00"/>
    <d v="2024-02-14T00:00:00"/>
    <s v="Filled"/>
    <n v="37"/>
    <s v="L3"/>
    <s v="Full-Time"/>
    <s v="LinkedIn"/>
    <s v="Q1"/>
    <s v="Yes"/>
    <s v="Strong pipeline"/>
  </r>
  <r>
    <s v="JOB-002"/>
    <s v="Software Engineer II"/>
    <x v="1"/>
    <s v="Remote"/>
    <x v="1"/>
    <d v="2024-01-15T00:00:00"/>
    <d v="2024-03-22T00:00:00"/>
    <s v="Filled"/>
    <n v="67"/>
    <s v="L4"/>
    <s v="Full-Time"/>
    <s v="Referral"/>
    <s v="Q1"/>
    <s v="Yes"/>
    <s v="Took longer — niche skills"/>
  </r>
  <r>
    <s v="JOB-003"/>
    <s v="HR Business Partner"/>
    <x v="2"/>
    <s v="Chicago"/>
    <x v="2"/>
    <d v="2024-01-20T00:00:00"/>
    <d v="2024-02-28T00:00:00"/>
    <s v="Filled"/>
    <n v="39"/>
    <s v="L3"/>
    <s v="Full-Time"/>
    <s v="Indeed"/>
    <s v="Q1"/>
    <s v="Yes"/>
    <m/>
  </r>
  <r>
    <s v="JOB-004"/>
    <s v="Sales Executive"/>
    <x v="3"/>
    <s v="Dallas"/>
    <x v="3"/>
    <d v="2024-02-01T00:00:00"/>
    <m/>
    <s v="Open"/>
    <s v=""/>
    <s v="L3"/>
    <s v="Full-Time"/>
    <s v="LinkedIn"/>
    <s v="Q1"/>
    <s v="No"/>
    <s v="2 finalists in review"/>
  </r>
  <r>
    <s v="JOB-005"/>
    <s v="Marketing Manager"/>
    <x v="4"/>
    <s v="New York"/>
    <x v="0"/>
    <d v="2024-02-10T00:00:00"/>
    <d v="2024-03-15T00:00:00"/>
    <s v="Filled"/>
    <n v="34"/>
    <s v="L4"/>
    <s v="Full-Time"/>
    <s v="LinkedIn"/>
    <s v="Q1"/>
    <s v="Yes"/>
    <m/>
  </r>
  <r>
    <s v="JOB-006"/>
    <s v="DevOps Engineer"/>
    <x v="1"/>
    <s v="Remote"/>
    <x v="1"/>
    <d v="2024-02-18T00:00:00"/>
    <d v="2024-04-05T00:00:00"/>
    <s v="Filled"/>
    <n v="47"/>
    <s v="L4"/>
    <s v="Full-Time"/>
    <s v="GitHub Jobs"/>
    <s v="Q1"/>
    <s v="Yes"/>
    <s v="Offer rejected once"/>
  </r>
  <r>
    <s v="JOB-007"/>
    <s v="Accountant"/>
    <x v="0"/>
    <s v="Chicago"/>
    <x v="2"/>
    <d v="2024-03-01T00:00:00"/>
    <d v="2024-03-28T00:00:00"/>
    <s v="Filled"/>
    <n v="27"/>
    <s v="L2"/>
    <s v="Full-Time"/>
    <s v="Indeed"/>
    <s v="Q1"/>
    <s v="Yes"/>
    <m/>
  </r>
  <r>
    <s v="JOB-008"/>
    <s v="Customer Success Mgr"/>
    <x v="5"/>
    <s v="Austin"/>
    <x v="3"/>
    <d v="2024-03-10T00:00:00"/>
    <d v="2024-04-20T00:00:00"/>
    <s v="Filled"/>
    <n v="41"/>
    <s v="L3"/>
    <s v="Full-Time"/>
    <s v="Referral"/>
    <s v="Q1"/>
    <s v="Yes"/>
    <s v="Internal referral"/>
  </r>
  <r>
    <s v="JOB-009"/>
    <s v="Product Manager"/>
    <x v="6"/>
    <s v="San Francisco"/>
    <x v="0"/>
    <d v="2024-03-20T00:00:00"/>
    <d v="2024-05-10T00:00:00"/>
    <s v="Filled"/>
    <n v="51"/>
    <s v="L5"/>
    <s v="Full-Time"/>
    <s v="LinkedIn"/>
    <s v="Q2"/>
    <s v="Yes"/>
    <s v="Competitive offer"/>
  </r>
  <r>
    <s v="JOB-010"/>
    <s v="UX Designer"/>
    <x v="6"/>
    <s v="New York"/>
    <x v="2"/>
    <d v="2024-04-01T00:00:00"/>
    <d v="2024-05-03T00:00:00"/>
    <s v="Filled"/>
    <n v="32"/>
    <s v="L3"/>
    <s v="Full-Time"/>
    <s v="Dribbble"/>
    <s v="Q2"/>
    <s v="Yes"/>
    <m/>
  </r>
  <r>
    <s v="JOB-011"/>
    <s v="Data Engineer"/>
    <x v="1"/>
    <s v="Remote"/>
    <x v="1"/>
    <d v="2024-04-08T00:00:00"/>
    <m/>
    <s v="Open"/>
    <s v=""/>
    <s v="L4"/>
    <s v="Full-Time"/>
    <s v="LinkedIn"/>
    <s v="Q2"/>
    <s v="No"/>
    <s v="Technical screen stage"/>
  </r>
  <r>
    <s v="JOB-012"/>
    <s v="Recruiter"/>
    <x v="2"/>
    <s v="Chicago"/>
    <x v="3"/>
    <d v="2024-04-15T00:00:00"/>
    <d v="2024-05-20T00:00:00"/>
    <s v="Filled"/>
    <n v="35"/>
    <s v="L2"/>
    <s v="Full-Time"/>
    <s v="Indeed"/>
    <s v="Q2"/>
    <s v="Yes"/>
    <m/>
  </r>
  <r>
    <s v="JOB-013"/>
    <s v="Business Analyst"/>
    <x v="0"/>
    <s v="Dallas"/>
    <x v="0"/>
    <d v="2024-04-22T00:00:00"/>
    <d v="2024-06-01T00:00:00"/>
    <s v="Filled"/>
    <n v="40"/>
    <s v="L3"/>
    <s v="Contract"/>
    <s v="LinkedIn"/>
    <s v="Q2"/>
    <s v="Yes"/>
    <s v="Contract-to-hire"/>
  </r>
  <r>
    <s v="JOB-014"/>
    <s v="Sales Development Rep"/>
    <x v="3"/>
    <s v="Austin"/>
    <x v="3"/>
    <d v="2024-05-01T00:00:00"/>
    <d v="2024-05-30T00:00:00"/>
    <s v="Filled"/>
    <n v="29"/>
    <s v="L1"/>
    <s v="Full-Time"/>
    <s v="Indeed"/>
    <s v="Q2"/>
    <s v="Yes"/>
    <s v="Fast fill"/>
  </r>
  <r>
    <s v="JOB-015"/>
    <s v="Cloud Architect"/>
    <x v="1"/>
    <s v="Remote"/>
    <x v="1"/>
    <d v="2024-05-10T00:00:00"/>
    <m/>
    <s v="Open"/>
    <s v=""/>
    <s v="L5"/>
    <s v="Full-Time"/>
    <s v="LinkedIn"/>
    <s v="Q2"/>
    <s v="No"/>
    <s v="Senior-level, slow pipeline"/>
  </r>
  <r>
    <s v="JOB-016"/>
    <s v="Content Strategist"/>
    <x v="4"/>
    <s v="New York"/>
    <x v="0"/>
    <d v="2024-05-18T00:00:00"/>
    <d v="2024-06-14T00:00:00"/>
    <s v="Filled"/>
    <n v="27"/>
    <s v="L2"/>
    <s v="Full-Time"/>
    <s v="LinkedIn"/>
    <s v="Q2"/>
    <s v="Yes"/>
    <m/>
  </r>
  <r>
    <s v="JOB-017"/>
    <s v="Finance Manager"/>
    <x v="0"/>
    <s v="Chicago"/>
    <x v="2"/>
    <d v="2024-06-01T00:00:00"/>
    <m/>
    <s v="Open"/>
    <s v=""/>
    <s v="L4"/>
    <s v="Full-Time"/>
    <s v="Referral"/>
    <s v="Q2"/>
    <s v="No"/>
    <s v="Final interviews"/>
  </r>
  <r>
    <s v="JOB-018"/>
    <s v="Operations Analyst"/>
    <x v="5"/>
    <s v="Dallas"/>
    <x v="3"/>
    <d v="2024-06-05T00:00:00"/>
    <m/>
    <s v="Open"/>
    <s v=""/>
    <s v="L2"/>
    <s v="Full-Time"/>
    <s v="Indeed"/>
    <s v="Q2"/>
    <s v="No"/>
    <s v="Phone screens"/>
  </r>
  <r>
    <s v="JOB-019"/>
    <s v="ML Engineer"/>
    <x v="1"/>
    <s v="Remote"/>
    <x v="1"/>
    <d v="2024-06-10T00:00:00"/>
    <m/>
    <s v="Open"/>
    <s v=""/>
    <s v="L5"/>
    <s v="Full-Time"/>
    <s v="LinkedIn"/>
    <s v="Q2"/>
    <s v="No"/>
    <s v="New headcount approval"/>
  </r>
  <r>
    <s v="JOB-020"/>
    <s v="Talent Acquisition Spec"/>
    <x v="2"/>
    <s v="Austin"/>
    <x v="0"/>
    <d v="2024-06-15T00:00:00"/>
    <m/>
    <s v="Open"/>
    <s v=""/>
    <s v="L2"/>
    <s v="Full-Time"/>
    <s v="Indeed"/>
    <s v="Q2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B5F3E-2055-4633-B5DD-6A66ECB67E1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B11" firstHeaderRow="1" firstDataRow="1" firstDataCol="1"/>
  <pivotFields count="15">
    <pivotField dataField="1" showAll="0"/>
    <pivotField showAll="0"/>
    <pivotField axis="axisRow" showAll="0">
      <items count="8">
        <item x="1"/>
        <item x="0"/>
        <item x="2"/>
        <item x="4"/>
        <item x="5"/>
        <item x="6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Rol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CA4AA-60A2-41DD-B95E-6A489CAA9BB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5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 to Fill" fld="8" subtotal="average" baseField="4" baseItem="0" numFmtId="166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C38A-75D4-4A4C-A1F6-E1F2F41C67B3}">
  <dimension ref="A3:B11"/>
  <sheetViews>
    <sheetView workbookViewId="0">
      <selection activeCell="D18" sqref="D18"/>
    </sheetView>
  </sheetViews>
  <sheetFormatPr defaultRowHeight="14.5" x14ac:dyDescent="0.35"/>
  <cols>
    <col min="1" max="1" width="12.36328125" bestFit="1" customWidth="1"/>
    <col min="2" max="2" width="13.7265625" bestFit="1" customWidth="1"/>
  </cols>
  <sheetData>
    <row r="3" spans="1:2" x14ac:dyDescent="0.35">
      <c r="A3" s="26" t="s">
        <v>125</v>
      </c>
      <c r="B3" t="s">
        <v>103</v>
      </c>
    </row>
    <row r="4" spans="1:2" x14ac:dyDescent="0.35">
      <c r="A4" s="27" t="s">
        <v>29</v>
      </c>
      <c r="B4" s="28">
        <v>5</v>
      </c>
    </row>
    <row r="5" spans="1:2" x14ac:dyDescent="0.35">
      <c r="A5" s="27" t="s">
        <v>17</v>
      </c>
      <c r="B5" s="28">
        <v>4</v>
      </c>
    </row>
    <row r="6" spans="1:2" x14ac:dyDescent="0.35">
      <c r="A6" s="27" t="s">
        <v>37</v>
      </c>
      <c r="B6" s="28">
        <v>3</v>
      </c>
    </row>
    <row r="7" spans="1:2" x14ac:dyDescent="0.35">
      <c r="A7" s="27" t="s">
        <v>51</v>
      </c>
      <c r="B7" s="28">
        <v>2</v>
      </c>
    </row>
    <row r="8" spans="1:2" x14ac:dyDescent="0.35">
      <c r="A8" s="27" t="s">
        <v>61</v>
      </c>
      <c r="B8" s="28">
        <v>2</v>
      </c>
    </row>
    <row r="9" spans="1:2" x14ac:dyDescent="0.35">
      <c r="A9" s="27" t="s">
        <v>66</v>
      </c>
      <c r="B9" s="28">
        <v>2</v>
      </c>
    </row>
    <row r="10" spans="1:2" x14ac:dyDescent="0.35">
      <c r="A10" s="27" t="s">
        <v>43</v>
      </c>
      <c r="B10" s="28">
        <v>2</v>
      </c>
    </row>
    <row r="11" spans="1:2" x14ac:dyDescent="0.35">
      <c r="A11" s="27" t="s">
        <v>124</v>
      </c>
      <c r="B11" s="2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01AF-EB98-4419-A3E1-D33B7DFF9080}">
  <dimension ref="A3:B8"/>
  <sheetViews>
    <sheetView workbookViewId="0">
      <selection activeCell="B12" sqref="B12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26" t="s">
        <v>123</v>
      </c>
      <c r="B3" t="s">
        <v>126</v>
      </c>
    </row>
    <row r="4" spans="1:2" x14ac:dyDescent="0.35">
      <c r="A4" s="27" t="s">
        <v>45</v>
      </c>
      <c r="B4" s="29">
        <v>35</v>
      </c>
    </row>
    <row r="5" spans="1:2" x14ac:dyDescent="0.35">
      <c r="A5" s="27" t="s">
        <v>39</v>
      </c>
      <c r="B5" s="29">
        <v>32.666666666666664</v>
      </c>
    </row>
    <row r="6" spans="1:2" x14ac:dyDescent="0.35">
      <c r="A6" s="27" t="s">
        <v>31</v>
      </c>
      <c r="B6" s="29">
        <v>57</v>
      </c>
    </row>
    <row r="7" spans="1:2" x14ac:dyDescent="0.35">
      <c r="A7" s="27" t="s">
        <v>19</v>
      </c>
      <c r="B7" s="29">
        <v>37.799999999999997</v>
      </c>
    </row>
    <row r="8" spans="1:2" x14ac:dyDescent="0.35">
      <c r="A8" s="27" t="s">
        <v>124</v>
      </c>
      <c r="B8" s="29">
        <v>38.92307692307692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P24"/>
  <sheetViews>
    <sheetView topLeftCell="K1" zoomScaleNormal="100" workbookViewId="0">
      <pane ySplit="4" topLeftCell="A5" activePane="bottomLeft" state="frozen"/>
      <selection pane="bottomLeft" activeCell="P5" sqref="P5"/>
    </sheetView>
  </sheetViews>
  <sheetFormatPr defaultColWidth="8.6328125" defaultRowHeight="14.5" x14ac:dyDescent="0.35"/>
  <cols>
    <col min="1" max="15" width="16" customWidth="1"/>
  </cols>
  <sheetData>
    <row r="1" spans="1:16" ht="36" customHeight="1" x14ac:dyDescent="0.35">
      <c r="A1" s="5" t="s">
        <v>122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ht="18" customHeight="1" x14ac:dyDescent="0.35">
      <c r="A2" s="4" t="s">
        <v>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ht="6" customHeight="1" x14ac:dyDescent="0.35"/>
    <row r="4" spans="1:16" ht="30" customHeight="1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30" t="s">
        <v>114</v>
      </c>
    </row>
    <row r="5" spans="1:16" x14ac:dyDescent="0.35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9">
        <v>45299</v>
      </c>
      <c r="G5" s="9">
        <v>45336</v>
      </c>
      <c r="H5" s="7" t="s">
        <v>20</v>
      </c>
      <c r="I5" s="10">
        <f t="shared" ref="I5:I24" si="0">IF(G5="","",G5-F5)</f>
        <v>37</v>
      </c>
      <c r="J5" s="8" t="s">
        <v>21</v>
      </c>
      <c r="K5" s="8" t="s">
        <v>22</v>
      </c>
      <c r="L5" s="8" t="s">
        <v>23</v>
      </c>
      <c r="M5" s="7" t="s">
        <v>24</v>
      </c>
      <c r="N5" s="7" t="s">
        <v>25</v>
      </c>
      <c r="O5" s="8" t="s">
        <v>26</v>
      </c>
      <c r="P5" s="31">
        <f>VLOOKUP(J5,Lookup_Tables!$A$4:$C$9,2,0)</f>
        <v>80000</v>
      </c>
    </row>
    <row r="6" spans="1:16" x14ac:dyDescent="0.35">
      <c r="A6" s="7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9">
        <v>45306</v>
      </c>
      <c r="G6" s="9">
        <v>45373</v>
      </c>
      <c r="H6" s="7" t="s">
        <v>20</v>
      </c>
      <c r="I6" s="10">
        <f t="shared" si="0"/>
        <v>67</v>
      </c>
      <c r="J6" s="8" t="s">
        <v>32</v>
      </c>
      <c r="K6" s="8" t="s">
        <v>22</v>
      </c>
      <c r="L6" s="8" t="s">
        <v>33</v>
      </c>
      <c r="M6" s="7" t="s">
        <v>24</v>
      </c>
      <c r="N6" s="7" t="s">
        <v>25</v>
      </c>
      <c r="O6" s="8" t="s">
        <v>34</v>
      </c>
      <c r="P6" s="31">
        <f>VLOOKUP(J6,Lookup_Tables!$A$4:$C$9,2,0)</f>
        <v>105000</v>
      </c>
    </row>
    <row r="7" spans="1:16" x14ac:dyDescent="0.35">
      <c r="A7" s="7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9">
        <v>45311</v>
      </c>
      <c r="G7" s="9">
        <v>45350</v>
      </c>
      <c r="H7" s="7" t="s">
        <v>20</v>
      </c>
      <c r="I7" s="10">
        <f t="shared" si="0"/>
        <v>39</v>
      </c>
      <c r="J7" s="8" t="s">
        <v>21</v>
      </c>
      <c r="K7" s="8" t="s">
        <v>22</v>
      </c>
      <c r="L7" s="8" t="s">
        <v>40</v>
      </c>
      <c r="M7" s="7" t="s">
        <v>24</v>
      </c>
      <c r="N7" s="7" t="s">
        <v>25</v>
      </c>
      <c r="O7" s="8"/>
      <c r="P7" s="31">
        <f>VLOOKUP(J7,Lookup_Tables!$A$4:$C$9,2,0)</f>
        <v>80000</v>
      </c>
    </row>
    <row r="8" spans="1:16" x14ac:dyDescent="0.35">
      <c r="A8" s="7" t="s">
        <v>41</v>
      </c>
      <c r="B8" s="8" t="s">
        <v>42</v>
      </c>
      <c r="C8" s="8" t="s">
        <v>43</v>
      </c>
      <c r="D8" s="8" t="s">
        <v>44</v>
      </c>
      <c r="E8" s="8" t="s">
        <v>45</v>
      </c>
      <c r="F8" s="9">
        <v>45323</v>
      </c>
      <c r="G8" s="7"/>
      <c r="H8" s="7" t="s">
        <v>46</v>
      </c>
      <c r="I8" s="10" t="str">
        <f t="shared" si="0"/>
        <v/>
      </c>
      <c r="J8" s="8" t="s">
        <v>21</v>
      </c>
      <c r="K8" s="8" t="s">
        <v>22</v>
      </c>
      <c r="L8" s="8" t="s">
        <v>23</v>
      </c>
      <c r="M8" s="7" t="s">
        <v>24</v>
      </c>
      <c r="N8" s="7" t="s">
        <v>47</v>
      </c>
      <c r="O8" s="8" t="s">
        <v>48</v>
      </c>
      <c r="P8" s="31">
        <f>VLOOKUP(J8,Lookup_Tables!$A$4:$C$9,2,0)</f>
        <v>80000</v>
      </c>
    </row>
    <row r="9" spans="1:16" x14ac:dyDescent="0.35">
      <c r="A9" s="7" t="s">
        <v>49</v>
      </c>
      <c r="B9" s="8" t="s">
        <v>50</v>
      </c>
      <c r="C9" s="8" t="s">
        <v>51</v>
      </c>
      <c r="D9" s="8" t="s">
        <v>18</v>
      </c>
      <c r="E9" s="8" t="s">
        <v>19</v>
      </c>
      <c r="F9" s="9">
        <v>45332</v>
      </c>
      <c r="G9" s="9">
        <v>45366</v>
      </c>
      <c r="H9" s="7" t="s">
        <v>20</v>
      </c>
      <c r="I9" s="10">
        <f t="shared" si="0"/>
        <v>34</v>
      </c>
      <c r="J9" s="8" t="s">
        <v>32</v>
      </c>
      <c r="K9" s="8" t="s">
        <v>22</v>
      </c>
      <c r="L9" s="8" t="s">
        <v>23</v>
      </c>
      <c r="M9" s="7" t="s">
        <v>24</v>
      </c>
      <c r="N9" s="7" t="s">
        <v>25</v>
      </c>
      <c r="O9" s="8"/>
      <c r="P9" s="31">
        <f>VLOOKUP(J9,Lookup_Tables!$A$4:$C$9,2,0)</f>
        <v>105000</v>
      </c>
    </row>
    <row r="10" spans="1:16" x14ac:dyDescent="0.35">
      <c r="A10" s="7" t="s">
        <v>52</v>
      </c>
      <c r="B10" s="8" t="s">
        <v>53</v>
      </c>
      <c r="C10" s="8" t="s">
        <v>29</v>
      </c>
      <c r="D10" s="8" t="s">
        <v>30</v>
      </c>
      <c r="E10" s="8" t="s">
        <v>31</v>
      </c>
      <c r="F10" s="9">
        <v>45340</v>
      </c>
      <c r="G10" s="9">
        <v>45387</v>
      </c>
      <c r="H10" s="7" t="s">
        <v>20</v>
      </c>
      <c r="I10" s="10">
        <f t="shared" si="0"/>
        <v>47</v>
      </c>
      <c r="J10" s="8" t="s">
        <v>32</v>
      </c>
      <c r="K10" s="8" t="s">
        <v>22</v>
      </c>
      <c r="L10" s="8" t="s">
        <v>54</v>
      </c>
      <c r="M10" s="7" t="s">
        <v>24</v>
      </c>
      <c r="N10" s="7" t="s">
        <v>25</v>
      </c>
      <c r="O10" s="8" t="s">
        <v>55</v>
      </c>
      <c r="P10" s="31">
        <f>VLOOKUP(J10,Lookup_Tables!$A$4:$C$9,2,0)</f>
        <v>105000</v>
      </c>
    </row>
    <row r="11" spans="1:16" x14ac:dyDescent="0.35">
      <c r="A11" s="7" t="s">
        <v>56</v>
      </c>
      <c r="B11" s="8" t="s">
        <v>57</v>
      </c>
      <c r="C11" s="8" t="s">
        <v>17</v>
      </c>
      <c r="D11" s="8" t="s">
        <v>38</v>
      </c>
      <c r="E11" s="8" t="s">
        <v>39</v>
      </c>
      <c r="F11" s="9">
        <v>45352</v>
      </c>
      <c r="G11" s="9">
        <v>45379</v>
      </c>
      <c r="H11" s="7" t="s">
        <v>20</v>
      </c>
      <c r="I11" s="10">
        <f t="shared" si="0"/>
        <v>27</v>
      </c>
      <c r="J11" s="8" t="s">
        <v>58</v>
      </c>
      <c r="K11" s="8" t="s">
        <v>22</v>
      </c>
      <c r="L11" s="8" t="s">
        <v>40</v>
      </c>
      <c r="M11" s="7" t="s">
        <v>24</v>
      </c>
      <c r="N11" s="7" t="s">
        <v>25</v>
      </c>
      <c r="O11" s="8"/>
      <c r="P11" s="31">
        <f>VLOOKUP(J11,Lookup_Tables!$A$4:$C$9,2,0)</f>
        <v>60000</v>
      </c>
    </row>
    <row r="12" spans="1:16" x14ac:dyDescent="0.35">
      <c r="A12" s="7" t="s">
        <v>59</v>
      </c>
      <c r="B12" s="8" t="s">
        <v>60</v>
      </c>
      <c r="C12" s="8" t="s">
        <v>61</v>
      </c>
      <c r="D12" s="8" t="s">
        <v>62</v>
      </c>
      <c r="E12" s="8" t="s">
        <v>45</v>
      </c>
      <c r="F12" s="9">
        <v>45361</v>
      </c>
      <c r="G12" s="9">
        <v>45402</v>
      </c>
      <c r="H12" s="7" t="s">
        <v>20</v>
      </c>
      <c r="I12" s="10">
        <f t="shared" si="0"/>
        <v>41</v>
      </c>
      <c r="J12" s="8" t="s">
        <v>21</v>
      </c>
      <c r="K12" s="8" t="s">
        <v>22</v>
      </c>
      <c r="L12" s="8" t="s">
        <v>33</v>
      </c>
      <c r="M12" s="7" t="s">
        <v>24</v>
      </c>
      <c r="N12" s="7" t="s">
        <v>25</v>
      </c>
      <c r="O12" s="8" t="s">
        <v>63</v>
      </c>
      <c r="P12" s="31">
        <f>VLOOKUP(J12,Lookup_Tables!$A$4:$C$9,2,0)</f>
        <v>80000</v>
      </c>
    </row>
    <row r="13" spans="1:16" x14ac:dyDescent="0.35">
      <c r="A13" s="7" t="s">
        <v>64</v>
      </c>
      <c r="B13" s="8" t="s">
        <v>65</v>
      </c>
      <c r="C13" s="8" t="s">
        <v>66</v>
      </c>
      <c r="D13" s="8" t="s">
        <v>67</v>
      </c>
      <c r="E13" s="8" t="s">
        <v>19</v>
      </c>
      <c r="F13" s="9">
        <v>45371</v>
      </c>
      <c r="G13" s="9">
        <v>45422</v>
      </c>
      <c r="H13" s="7" t="s">
        <v>20</v>
      </c>
      <c r="I13" s="10">
        <f t="shared" si="0"/>
        <v>51</v>
      </c>
      <c r="J13" s="8" t="s">
        <v>68</v>
      </c>
      <c r="K13" s="8" t="s">
        <v>22</v>
      </c>
      <c r="L13" s="8" t="s">
        <v>23</v>
      </c>
      <c r="M13" s="7" t="s">
        <v>69</v>
      </c>
      <c r="N13" s="7" t="s">
        <v>25</v>
      </c>
      <c r="O13" s="8" t="s">
        <v>70</v>
      </c>
      <c r="P13" s="31">
        <f>VLOOKUP(J13,Lookup_Tables!$A$4:$C$9,2,0)</f>
        <v>135000</v>
      </c>
    </row>
    <row r="14" spans="1:16" x14ac:dyDescent="0.35">
      <c r="A14" s="7" t="s">
        <v>71</v>
      </c>
      <c r="B14" s="8" t="s">
        <v>72</v>
      </c>
      <c r="C14" s="8" t="s">
        <v>66</v>
      </c>
      <c r="D14" s="8" t="s">
        <v>18</v>
      </c>
      <c r="E14" s="8" t="s">
        <v>39</v>
      </c>
      <c r="F14" s="9">
        <v>45383</v>
      </c>
      <c r="G14" s="9">
        <v>45415</v>
      </c>
      <c r="H14" s="7" t="s">
        <v>20</v>
      </c>
      <c r="I14" s="10">
        <f t="shared" si="0"/>
        <v>32</v>
      </c>
      <c r="J14" s="8" t="s">
        <v>21</v>
      </c>
      <c r="K14" s="8" t="s">
        <v>22</v>
      </c>
      <c r="L14" s="8" t="s">
        <v>73</v>
      </c>
      <c r="M14" s="7" t="s">
        <v>69</v>
      </c>
      <c r="N14" s="7" t="s">
        <v>25</v>
      </c>
      <c r="O14" s="8"/>
      <c r="P14" s="31">
        <f>VLOOKUP(J14,Lookup_Tables!$A$4:$C$9,2,0)</f>
        <v>80000</v>
      </c>
    </row>
    <row r="15" spans="1:16" x14ac:dyDescent="0.35">
      <c r="A15" s="7" t="s">
        <v>74</v>
      </c>
      <c r="B15" s="8" t="s">
        <v>75</v>
      </c>
      <c r="C15" s="8" t="s">
        <v>29</v>
      </c>
      <c r="D15" s="8" t="s">
        <v>30</v>
      </c>
      <c r="E15" s="8" t="s">
        <v>31</v>
      </c>
      <c r="F15" s="9">
        <v>45390</v>
      </c>
      <c r="G15" s="7"/>
      <c r="H15" s="7" t="s">
        <v>46</v>
      </c>
      <c r="I15" s="10" t="str">
        <f t="shared" si="0"/>
        <v/>
      </c>
      <c r="J15" s="8" t="s">
        <v>32</v>
      </c>
      <c r="K15" s="8" t="s">
        <v>22</v>
      </c>
      <c r="L15" s="8" t="s">
        <v>23</v>
      </c>
      <c r="M15" s="7" t="s">
        <v>69</v>
      </c>
      <c r="N15" s="7" t="s">
        <v>47</v>
      </c>
      <c r="O15" s="8" t="s">
        <v>76</v>
      </c>
      <c r="P15" s="31">
        <f>VLOOKUP(J15,Lookup_Tables!$A$4:$C$9,2,0)</f>
        <v>105000</v>
      </c>
    </row>
    <row r="16" spans="1:16" x14ac:dyDescent="0.35">
      <c r="A16" s="7" t="s">
        <v>77</v>
      </c>
      <c r="B16" s="8" t="s">
        <v>4</v>
      </c>
      <c r="C16" s="8" t="s">
        <v>37</v>
      </c>
      <c r="D16" s="8" t="s">
        <v>38</v>
      </c>
      <c r="E16" s="8" t="s">
        <v>45</v>
      </c>
      <c r="F16" s="9">
        <v>45397</v>
      </c>
      <c r="G16" s="9">
        <v>45432</v>
      </c>
      <c r="H16" s="7" t="s">
        <v>20</v>
      </c>
      <c r="I16" s="10">
        <f t="shared" si="0"/>
        <v>35</v>
      </c>
      <c r="J16" s="8" t="s">
        <v>58</v>
      </c>
      <c r="K16" s="8" t="s">
        <v>22</v>
      </c>
      <c r="L16" s="8" t="s">
        <v>40</v>
      </c>
      <c r="M16" s="7" t="s">
        <v>69</v>
      </c>
      <c r="N16" s="7" t="s">
        <v>25</v>
      </c>
      <c r="O16" s="8"/>
      <c r="P16" s="31">
        <f>VLOOKUP(J16,Lookup_Tables!$A$4:$C$9,2,0)</f>
        <v>60000</v>
      </c>
    </row>
    <row r="17" spans="1:16" x14ac:dyDescent="0.35">
      <c r="A17" s="7" t="s">
        <v>78</v>
      </c>
      <c r="B17" s="8" t="s">
        <v>79</v>
      </c>
      <c r="C17" s="8" t="s">
        <v>17</v>
      </c>
      <c r="D17" s="8" t="s">
        <v>44</v>
      </c>
      <c r="E17" s="8" t="s">
        <v>19</v>
      </c>
      <c r="F17" s="9">
        <v>45404</v>
      </c>
      <c r="G17" s="9">
        <v>45444</v>
      </c>
      <c r="H17" s="7" t="s">
        <v>20</v>
      </c>
      <c r="I17" s="10">
        <f t="shared" si="0"/>
        <v>40</v>
      </c>
      <c r="J17" s="8" t="s">
        <v>21</v>
      </c>
      <c r="K17" s="8" t="s">
        <v>80</v>
      </c>
      <c r="L17" s="8" t="s">
        <v>23</v>
      </c>
      <c r="M17" s="7" t="s">
        <v>69</v>
      </c>
      <c r="N17" s="7" t="s">
        <v>25</v>
      </c>
      <c r="O17" s="8" t="s">
        <v>81</v>
      </c>
      <c r="P17" s="31">
        <f>VLOOKUP(J17,Lookup_Tables!$A$4:$C$9,2,0)</f>
        <v>80000</v>
      </c>
    </row>
    <row r="18" spans="1:16" x14ac:dyDescent="0.35">
      <c r="A18" s="7" t="s">
        <v>82</v>
      </c>
      <c r="B18" s="8" t="s">
        <v>83</v>
      </c>
      <c r="C18" s="8" t="s">
        <v>43</v>
      </c>
      <c r="D18" s="8" t="s">
        <v>62</v>
      </c>
      <c r="E18" s="8" t="s">
        <v>45</v>
      </c>
      <c r="F18" s="9">
        <v>45413</v>
      </c>
      <c r="G18" s="9">
        <v>45442</v>
      </c>
      <c r="H18" s="7" t="s">
        <v>20</v>
      </c>
      <c r="I18" s="10">
        <f t="shared" si="0"/>
        <v>29</v>
      </c>
      <c r="J18" s="8" t="s">
        <v>84</v>
      </c>
      <c r="K18" s="8" t="s">
        <v>22</v>
      </c>
      <c r="L18" s="8" t="s">
        <v>40</v>
      </c>
      <c r="M18" s="7" t="s">
        <v>69</v>
      </c>
      <c r="N18" s="7" t="s">
        <v>25</v>
      </c>
      <c r="O18" s="8" t="s">
        <v>85</v>
      </c>
      <c r="P18" s="31">
        <f>VLOOKUP(J18,Lookup_Tables!$A$4:$C$9,2,0)</f>
        <v>45000</v>
      </c>
    </row>
    <row r="19" spans="1:16" x14ac:dyDescent="0.35">
      <c r="A19" s="7" t="s">
        <v>86</v>
      </c>
      <c r="B19" s="8" t="s">
        <v>87</v>
      </c>
      <c r="C19" s="8" t="s">
        <v>29</v>
      </c>
      <c r="D19" s="8" t="s">
        <v>30</v>
      </c>
      <c r="E19" s="8" t="s">
        <v>31</v>
      </c>
      <c r="F19" s="9">
        <v>45422</v>
      </c>
      <c r="G19" s="7"/>
      <c r="H19" s="7" t="s">
        <v>46</v>
      </c>
      <c r="I19" s="10" t="str">
        <f t="shared" si="0"/>
        <v/>
      </c>
      <c r="J19" s="8" t="s">
        <v>68</v>
      </c>
      <c r="K19" s="8" t="s">
        <v>22</v>
      </c>
      <c r="L19" s="8" t="s">
        <v>23</v>
      </c>
      <c r="M19" s="7" t="s">
        <v>69</v>
      </c>
      <c r="N19" s="7" t="s">
        <v>47</v>
      </c>
      <c r="O19" s="8" t="s">
        <v>88</v>
      </c>
      <c r="P19" s="31">
        <f>VLOOKUP(J19,Lookup_Tables!$A$4:$C$9,2,0)</f>
        <v>135000</v>
      </c>
    </row>
    <row r="20" spans="1:16" x14ac:dyDescent="0.35">
      <c r="A20" s="7" t="s">
        <v>89</v>
      </c>
      <c r="B20" s="8" t="s">
        <v>90</v>
      </c>
      <c r="C20" s="8" t="s">
        <v>51</v>
      </c>
      <c r="D20" s="8" t="s">
        <v>18</v>
      </c>
      <c r="E20" s="8" t="s">
        <v>19</v>
      </c>
      <c r="F20" s="9">
        <v>45430</v>
      </c>
      <c r="G20" s="9">
        <v>45457</v>
      </c>
      <c r="H20" s="7" t="s">
        <v>20</v>
      </c>
      <c r="I20" s="10">
        <f t="shared" si="0"/>
        <v>27</v>
      </c>
      <c r="J20" s="8" t="s">
        <v>58</v>
      </c>
      <c r="K20" s="8" t="s">
        <v>22</v>
      </c>
      <c r="L20" s="8" t="s">
        <v>23</v>
      </c>
      <c r="M20" s="7" t="s">
        <v>69</v>
      </c>
      <c r="N20" s="7" t="s">
        <v>25</v>
      </c>
      <c r="O20" s="8"/>
      <c r="P20" s="31">
        <f>VLOOKUP(J20,Lookup_Tables!$A$4:$C$9,2,0)</f>
        <v>60000</v>
      </c>
    </row>
    <row r="21" spans="1:16" x14ac:dyDescent="0.35">
      <c r="A21" s="7" t="s">
        <v>91</v>
      </c>
      <c r="B21" s="8" t="s">
        <v>92</v>
      </c>
      <c r="C21" s="8" t="s">
        <v>17</v>
      </c>
      <c r="D21" s="8" t="s">
        <v>38</v>
      </c>
      <c r="E21" s="8" t="s">
        <v>39</v>
      </c>
      <c r="F21" s="9">
        <v>45444</v>
      </c>
      <c r="G21" s="7"/>
      <c r="H21" s="7" t="s">
        <v>46</v>
      </c>
      <c r="I21" s="10" t="str">
        <f t="shared" si="0"/>
        <v/>
      </c>
      <c r="J21" s="8" t="s">
        <v>32</v>
      </c>
      <c r="K21" s="8" t="s">
        <v>22</v>
      </c>
      <c r="L21" s="8" t="s">
        <v>33</v>
      </c>
      <c r="M21" s="7" t="s">
        <v>69</v>
      </c>
      <c r="N21" s="7" t="s">
        <v>47</v>
      </c>
      <c r="O21" s="8" t="s">
        <v>93</v>
      </c>
      <c r="P21" s="31">
        <f>VLOOKUP(J21,Lookup_Tables!$A$4:$C$9,2,0)</f>
        <v>105000</v>
      </c>
    </row>
    <row r="22" spans="1:16" x14ac:dyDescent="0.35">
      <c r="A22" s="7" t="s">
        <v>94</v>
      </c>
      <c r="B22" s="8" t="s">
        <v>95</v>
      </c>
      <c r="C22" s="8" t="s">
        <v>61</v>
      </c>
      <c r="D22" s="8" t="s">
        <v>44</v>
      </c>
      <c r="E22" s="8" t="s">
        <v>45</v>
      </c>
      <c r="F22" s="9">
        <v>45448</v>
      </c>
      <c r="G22" s="7"/>
      <c r="H22" s="7" t="s">
        <v>46</v>
      </c>
      <c r="I22" s="10" t="str">
        <f t="shared" si="0"/>
        <v/>
      </c>
      <c r="J22" s="8" t="s">
        <v>58</v>
      </c>
      <c r="K22" s="8" t="s">
        <v>22</v>
      </c>
      <c r="L22" s="8" t="s">
        <v>40</v>
      </c>
      <c r="M22" s="7" t="s">
        <v>69</v>
      </c>
      <c r="N22" s="7" t="s">
        <v>47</v>
      </c>
      <c r="O22" s="8" t="s">
        <v>96</v>
      </c>
      <c r="P22" s="31">
        <f>VLOOKUP(J22,Lookup_Tables!$A$4:$C$9,2,0)</f>
        <v>60000</v>
      </c>
    </row>
    <row r="23" spans="1:16" x14ac:dyDescent="0.35">
      <c r="A23" s="7" t="s">
        <v>97</v>
      </c>
      <c r="B23" s="8" t="s">
        <v>98</v>
      </c>
      <c r="C23" s="8" t="s">
        <v>29</v>
      </c>
      <c r="D23" s="8" t="s">
        <v>30</v>
      </c>
      <c r="E23" s="8" t="s">
        <v>31</v>
      </c>
      <c r="F23" s="9">
        <v>45453</v>
      </c>
      <c r="G23" s="7"/>
      <c r="H23" s="7" t="s">
        <v>46</v>
      </c>
      <c r="I23" s="10" t="str">
        <f t="shared" si="0"/>
        <v/>
      </c>
      <c r="J23" s="8" t="s">
        <v>68</v>
      </c>
      <c r="K23" s="8" t="s">
        <v>22</v>
      </c>
      <c r="L23" s="8" t="s">
        <v>23</v>
      </c>
      <c r="M23" s="7" t="s">
        <v>69</v>
      </c>
      <c r="N23" s="7" t="s">
        <v>47</v>
      </c>
      <c r="O23" s="8" t="s">
        <v>99</v>
      </c>
      <c r="P23" s="31">
        <f>VLOOKUP(J23,Lookup_Tables!$A$4:$C$9,2,0)</f>
        <v>135000</v>
      </c>
    </row>
    <row r="24" spans="1:16" x14ac:dyDescent="0.35">
      <c r="A24" s="7" t="s">
        <v>100</v>
      </c>
      <c r="B24" s="8" t="s">
        <v>101</v>
      </c>
      <c r="C24" s="8" t="s">
        <v>37</v>
      </c>
      <c r="D24" s="8" t="s">
        <v>62</v>
      </c>
      <c r="E24" s="8" t="s">
        <v>19</v>
      </c>
      <c r="F24" s="9">
        <v>45458</v>
      </c>
      <c r="G24" s="7"/>
      <c r="H24" s="7" t="s">
        <v>46</v>
      </c>
      <c r="I24" s="10" t="str">
        <f t="shared" si="0"/>
        <v/>
      </c>
      <c r="J24" s="8" t="s">
        <v>58</v>
      </c>
      <c r="K24" s="8" t="s">
        <v>22</v>
      </c>
      <c r="L24" s="8" t="s">
        <v>40</v>
      </c>
      <c r="M24" s="7" t="s">
        <v>69</v>
      </c>
      <c r="N24" s="7" t="s">
        <v>47</v>
      </c>
      <c r="O24" s="8"/>
      <c r="P24" s="31">
        <f>VLOOKUP(J24,Lookup_Tables!$A$4:$C$9,2,0)</f>
        <v>60000</v>
      </c>
    </row>
  </sheetData>
  <mergeCells count="2">
    <mergeCell ref="A1:O1"/>
    <mergeCell ref="A2:O2"/>
  </mergeCells>
  <conditionalFormatting sqref="H5:H24">
    <cfRule type="cellIs" dxfId="6" priority="2" operator="equal">
      <formula>"Filled"</formula>
    </cfRule>
    <cfRule type="cellIs" dxfId="5" priority="3" operator="equal">
      <formula>"Open"</formula>
    </cfRule>
  </conditionalFormatting>
  <conditionalFormatting sqref="I5:I24">
    <cfRule type="colorScale" priority="4">
      <colorScale>
        <cfvo type="num" val="0"/>
        <cfvo type="num" val="40"/>
        <cfvo type="num" val="90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A0"/>
  </sheetPr>
  <dimension ref="A1:I29"/>
  <sheetViews>
    <sheetView tabSelected="1" zoomScaleNormal="100" workbookViewId="0">
      <pane ySplit="5" topLeftCell="A18" activePane="bottomLeft" state="frozen"/>
      <selection pane="bottomLeft" activeCell="A27" sqref="A27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12" customWidth="1"/>
    <col min="4" max="4" width="16" customWidth="1"/>
    <col min="5" max="5" width="2" customWidth="1"/>
    <col min="6" max="6" width="22" customWidth="1"/>
    <col min="7" max="7" width="16" customWidth="1"/>
    <col min="8" max="8" width="12" customWidth="1"/>
    <col min="9" max="9" width="16" customWidth="1"/>
  </cols>
  <sheetData>
    <row r="1" spans="1:9" ht="36" customHeight="1" x14ac:dyDescent="0.35">
      <c r="A1" s="32" t="s">
        <v>127</v>
      </c>
      <c r="B1" s="5"/>
      <c r="C1" s="5"/>
      <c r="D1" s="5"/>
      <c r="E1" s="5"/>
      <c r="F1" s="5"/>
      <c r="G1" s="5"/>
      <c r="H1" s="5"/>
      <c r="I1" s="5"/>
    </row>
    <row r="3" spans="1:9" ht="19.5" customHeight="1" x14ac:dyDescent="0.35">
      <c r="A3" s="3" t="s">
        <v>102</v>
      </c>
      <c r="B3" s="3"/>
      <c r="C3" s="3"/>
      <c r="D3" s="3"/>
      <c r="E3" s="3"/>
      <c r="F3" s="3"/>
      <c r="G3" s="3"/>
      <c r="H3" s="3"/>
      <c r="I3" s="3"/>
    </row>
    <row r="4" spans="1:9" ht="19.5" customHeight="1" x14ac:dyDescent="0.35">
      <c r="A4" s="11" t="s">
        <v>103</v>
      </c>
      <c r="B4" s="11" t="s">
        <v>20</v>
      </c>
      <c r="C4" s="11" t="s">
        <v>46</v>
      </c>
      <c r="D4" s="11" t="s">
        <v>104</v>
      </c>
      <c r="E4" s="11" t="s">
        <v>105</v>
      </c>
      <c r="F4" s="11" t="s">
        <v>22</v>
      </c>
      <c r="G4" s="11" t="s">
        <v>80</v>
      </c>
    </row>
    <row r="5" spans="1:9" ht="36" customHeight="1" x14ac:dyDescent="0.4">
      <c r="A5" s="12">
        <f>COUNTA(Hiring_Data!A5:A24)</f>
        <v>20</v>
      </c>
      <c r="B5" s="12">
        <f>COUNTIF(Hiring_Data!H5:H24,"Filled")</f>
        <v>13</v>
      </c>
      <c r="C5" s="12">
        <f>COUNTIF(Hiring_Data!H5:H24,"Open")</f>
        <v>7</v>
      </c>
      <c r="D5" s="13">
        <f>COUNTIF(Hiring_Data!H5:H24,"Filled")/COUNTA(Hiring_Data!H5:H24)</f>
        <v>0.65</v>
      </c>
      <c r="E5" s="14">
        <f>AVERAGEIF(Hiring_Data!H5:H24,"Filled",Hiring_Data!I5:I24)</f>
        <v>38.92307692307692</v>
      </c>
      <c r="F5" s="12">
        <f>COUNTIF(Hiring_Data!K5:K24,"Full-Time")</f>
        <v>19</v>
      </c>
      <c r="G5" s="12">
        <f>COUNTIF(Hiring_Data!K5:K24,"Contract")</f>
        <v>1</v>
      </c>
    </row>
    <row r="6" spans="1:9" ht="36" customHeight="1" x14ac:dyDescent="0.35"/>
    <row r="7" spans="1:9" x14ac:dyDescent="0.35">
      <c r="A7" s="2" t="s">
        <v>106</v>
      </c>
      <c r="B7" s="2"/>
      <c r="C7" s="2"/>
      <c r="D7" s="2"/>
      <c r="F7" s="2" t="s">
        <v>107</v>
      </c>
      <c r="G7" s="2"/>
      <c r="H7" s="2"/>
      <c r="I7" s="2"/>
    </row>
    <row r="8" spans="1:9" x14ac:dyDescent="0.35">
      <c r="A8" s="15" t="s">
        <v>2</v>
      </c>
      <c r="B8" s="15" t="s">
        <v>103</v>
      </c>
      <c r="C8" s="15" t="s">
        <v>20</v>
      </c>
      <c r="D8" s="15" t="s">
        <v>105</v>
      </c>
      <c r="F8" s="15" t="s">
        <v>4</v>
      </c>
      <c r="G8" s="15" t="s">
        <v>108</v>
      </c>
      <c r="H8" s="15" t="s">
        <v>20</v>
      </c>
      <c r="I8" s="15" t="s">
        <v>109</v>
      </c>
    </row>
    <row r="9" spans="1:9" x14ac:dyDescent="0.35">
      <c r="A9" s="16" t="s">
        <v>29</v>
      </c>
      <c r="B9" s="17">
        <f>COUNTIF(Hiring_Data!C5:C24,"Engineering")</f>
        <v>5</v>
      </c>
      <c r="C9" s="17">
        <f>COUNTIFS(Hiring_Data!C5:C24,"Engineering",Hiring_Data!H5:H24,"Filled")</f>
        <v>2</v>
      </c>
      <c r="D9" s="18">
        <f>IFERROR(AVERAGEIFS(Hiring_Data!I5:I24,Hiring_Data!C5:C24,"Engineering",Hiring_Data!H5:H24,"Filled"),"-")</f>
        <v>57</v>
      </c>
      <c r="F9" s="16" t="s">
        <v>19</v>
      </c>
      <c r="G9" s="17">
        <f>COUNTIF(Hiring_Data!E5:E24,"Sarah Kim")</f>
        <v>6</v>
      </c>
      <c r="H9" s="17">
        <f>COUNTIFS(Hiring_Data!E5:E24,"Sarah Kim",Hiring_Data!H5:H24,"Filled")</f>
        <v>5</v>
      </c>
      <c r="I9" s="18">
        <f>IFERROR(AVERAGEIFS(Hiring_Data!I5:I24,Hiring_Data!E5:E24,"Sarah Kim",Hiring_Data!H5:H24,"Filled"),"-")</f>
        <v>37.799999999999997</v>
      </c>
    </row>
    <row r="10" spans="1:9" x14ac:dyDescent="0.35">
      <c r="A10" s="19" t="s">
        <v>17</v>
      </c>
      <c r="B10" s="20">
        <f>COUNTIF(Hiring_Data!C5:C24,"Finance")</f>
        <v>4</v>
      </c>
      <c r="C10" s="20">
        <f>COUNTIFS(Hiring_Data!C5:C24,"Finance",Hiring_Data!H5:H24,"Filled")</f>
        <v>3</v>
      </c>
      <c r="D10" s="21">
        <f>IFERROR(AVERAGEIFS(Hiring_Data!I5:I24,Hiring_Data!C5:C24,"Finance",Hiring_Data!H5:H24,"Filled"),"-")</f>
        <v>34.666666666666664</v>
      </c>
      <c r="F10" s="19" t="s">
        <v>31</v>
      </c>
      <c r="G10" s="20">
        <f>COUNTIF(Hiring_Data!E5:E24,"Mike Torres")</f>
        <v>5</v>
      </c>
      <c r="H10" s="20">
        <f>COUNTIFS(Hiring_Data!E5:E24,"Mike Torres",Hiring_Data!H5:H24,"Filled")</f>
        <v>2</v>
      </c>
      <c r="I10" s="21">
        <f>IFERROR(AVERAGEIFS(Hiring_Data!I5:I24,Hiring_Data!E5:E24,"Mike Torres",Hiring_Data!H5:H24,"Filled"),"-")</f>
        <v>57</v>
      </c>
    </row>
    <row r="11" spans="1:9" x14ac:dyDescent="0.35">
      <c r="A11" s="16" t="s">
        <v>37</v>
      </c>
      <c r="B11" s="17">
        <f>COUNTIF(Hiring_Data!C5:C24,"HR")</f>
        <v>3</v>
      </c>
      <c r="C11" s="17">
        <f>COUNTIFS(Hiring_Data!C5:C24,"HR",Hiring_Data!H5:H24,"Filled")</f>
        <v>2</v>
      </c>
      <c r="D11" s="18">
        <f>IFERROR(AVERAGEIFS(Hiring_Data!I5:I24,Hiring_Data!C5:C24,"HR",Hiring_Data!H5:H24,"Filled"),"-")</f>
        <v>37</v>
      </c>
      <c r="F11" s="16" t="s">
        <v>39</v>
      </c>
      <c r="G11" s="17">
        <f>COUNTIF(Hiring_Data!E5:E24,"Linda Marsh")</f>
        <v>4</v>
      </c>
      <c r="H11" s="17">
        <f>COUNTIFS(Hiring_Data!E5:E24,"Linda Marsh",Hiring_Data!H5:H24,"Filled")</f>
        <v>3</v>
      </c>
      <c r="I11" s="18">
        <f>IFERROR(AVERAGEIFS(Hiring_Data!I5:I24,Hiring_Data!E5:E24,"Linda Marsh",Hiring_Data!H5:H24,"Filled"),"-")</f>
        <v>32.666666666666664</v>
      </c>
    </row>
    <row r="12" spans="1:9" x14ac:dyDescent="0.35">
      <c r="A12" s="19" t="s">
        <v>51</v>
      </c>
      <c r="B12" s="20">
        <f>COUNTIF(Hiring_Data!C5:C24,"Marketing")</f>
        <v>2</v>
      </c>
      <c r="C12" s="20">
        <f>COUNTIFS(Hiring_Data!C5:C24,"Marketing",Hiring_Data!H5:H24,"Filled")</f>
        <v>2</v>
      </c>
      <c r="D12" s="21">
        <f>IFERROR(AVERAGEIFS(Hiring_Data!I5:I24,Hiring_Data!C5:C24,"Marketing",Hiring_Data!H5:H24,"Filled"),"-")</f>
        <v>30.5</v>
      </c>
      <c r="F12" s="19" t="s">
        <v>45</v>
      </c>
      <c r="G12" s="20">
        <f>COUNTIF(Hiring_Data!E5:E24,"James Obi")</f>
        <v>5</v>
      </c>
      <c r="H12" s="20">
        <f>COUNTIFS(Hiring_Data!E5:E24,"James Obi",Hiring_Data!H5:H24,"Filled")</f>
        <v>3</v>
      </c>
      <c r="I12" s="21">
        <f>IFERROR(AVERAGEIFS(Hiring_Data!I5:I24,Hiring_Data!E5:E24,"James Obi",Hiring_Data!H5:H24,"Filled"),"-")</f>
        <v>35</v>
      </c>
    </row>
    <row r="13" spans="1:9" x14ac:dyDescent="0.35">
      <c r="A13" s="16" t="s">
        <v>61</v>
      </c>
      <c r="B13" s="17">
        <f>COUNTIF(Hiring_Data!C5:C24,"Operations")</f>
        <v>2</v>
      </c>
      <c r="C13" s="17">
        <f>COUNTIFS(Hiring_Data!C5:C24,"Operations",Hiring_Data!H5:H24,"Filled")</f>
        <v>1</v>
      </c>
      <c r="D13" s="18">
        <f>IFERROR(AVERAGEIFS(Hiring_Data!I5:I24,Hiring_Data!C5:C24,"Operations",Hiring_Data!H5:H24,"Filled"),"-")</f>
        <v>41</v>
      </c>
    </row>
    <row r="14" spans="1:9" x14ac:dyDescent="0.35">
      <c r="A14" s="19" t="s">
        <v>66</v>
      </c>
      <c r="B14" s="20">
        <f>COUNTIF(Hiring_Data!C5:C24,"Product")</f>
        <v>2</v>
      </c>
      <c r="C14" s="20">
        <f>COUNTIFS(Hiring_Data!C5:C24,"Product",Hiring_Data!H5:H24,"Filled")</f>
        <v>2</v>
      </c>
      <c r="D14" s="21">
        <f>IFERROR(AVERAGEIFS(Hiring_Data!I5:I24,Hiring_Data!C5:C24,"Product",Hiring_Data!H5:H24,"Filled"),"-")</f>
        <v>41.5</v>
      </c>
    </row>
    <row r="15" spans="1:9" x14ac:dyDescent="0.35">
      <c r="A15" s="16" t="s">
        <v>43</v>
      </c>
      <c r="B15" s="17">
        <f>COUNTIF(Hiring_Data!C5:C24,"Sales")</f>
        <v>2</v>
      </c>
      <c r="C15" s="17">
        <f>COUNTIFS(Hiring_Data!C5:C24,"Sales",Hiring_Data!H5:H24,"Filled")</f>
        <v>1</v>
      </c>
      <c r="D15" s="18">
        <f>IFERROR(AVERAGEIFS(Hiring_Data!I5:I24,Hiring_Data!C5:C24,"Sales",Hiring_Data!H5:H24,"Filled"),"-")</f>
        <v>29</v>
      </c>
    </row>
    <row r="17" spans="1:9" x14ac:dyDescent="0.35">
      <c r="A17" s="2" t="s">
        <v>110</v>
      </c>
      <c r="B17" s="2"/>
      <c r="C17" s="2"/>
      <c r="D17" s="2"/>
      <c r="F17" s="2" t="s">
        <v>111</v>
      </c>
      <c r="G17" s="2"/>
      <c r="H17" s="2"/>
      <c r="I17" s="2"/>
    </row>
    <row r="18" spans="1:9" x14ac:dyDescent="0.35">
      <c r="A18" s="15" t="s">
        <v>11</v>
      </c>
      <c r="B18" s="15" t="s">
        <v>112</v>
      </c>
      <c r="C18" s="15" t="s">
        <v>20</v>
      </c>
      <c r="D18" s="15" t="s">
        <v>104</v>
      </c>
      <c r="F18" s="15" t="s">
        <v>12</v>
      </c>
      <c r="G18" s="15" t="s">
        <v>103</v>
      </c>
      <c r="H18" s="15" t="s">
        <v>20</v>
      </c>
      <c r="I18" s="15" t="s">
        <v>104</v>
      </c>
    </row>
    <row r="19" spans="1:9" x14ac:dyDescent="0.35">
      <c r="A19" s="16" t="s">
        <v>23</v>
      </c>
      <c r="B19" s="17">
        <f>COUNTIF(Hiring_Data!L5:L24,"LinkedIn")</f>
        <v>9</v>
      </c>
      <c r="C19" s="17">
        <f>COUNTIFS(Hiring_Data!L5:L24,"LinkedIn",Hiring_Data!H5:H24,"Filled")</f>
        <v>5</v>
      </c>
      <c r="D19" s="22">
        <f>IFERROR(COUNTIFS(Hiring_Data!L5:L24,"LinkedIn",Hiring_Data!H5:H24,"Filled")/COUNTIF(Hiring_Data!L5:L24,"LinkedIn"),"-")</f>
        <v>0.55555555555555558</v>
      </c>
      <c r="F19" s="16" t="s">
        <v>24</v>
      </c>
      <c r="G19" s="17">
        <f>COUNTIF(Hiring_Data!M5:M24,"Q1")</f>
        <v>8</v>
      </c>
      <c r="H19" s="17">
        <f>COUNTIFS(Hiring_Data!M5:M24,"Q1",Hiring_Data!H5:H24,"Filled")</f>
        <v>7</v>
      </c>
      <c r="I19" s="22">
        <f>IFERROR(COUNTIFS(Hiring_Data!M5:M24,"Q1",Hiring_Data!H5:H24,"Filled")/COUNTIF(Hiring_Data!M5:M24,"Q1"),"-")</f>
        <v>0.875</v>
      </c>
    </row>
    <row r="20" spans="1:9" x14ac:dyDescent="0.35">
      <c r="A20" s="19" t="s">
        <v>40</v>
      </c>
      <c r="B20" s="20">
        <f>COUNTIF(Hiring_Data!L5:L24,"Indeed")</f>
        <v>6</v>
      </c>
      <c r="C20" s="20">
        <f>COUNTIFS(Hiring_Data!L5:L24,"Indeed",Hiring_Data!H5:H24,"Filled")</f>
        <v>4</v>
      </c>
      <c r="D20" s="23">
        <f>IFERROR(COUNTIFS(Hiring_Data!L5:L24,"Indeed",Hiring_Data!H5:H24,"Filled")/COUNTIF(Hiring_Data!L5:L24,"Indeed"),"-")</f>
        <v>0.66666666666666663</v>
      </c>
      <c r="F20" s="19" t="s">
        <v>69</v>
      </c>
      <c r="G20" s="20">
        <f>COUNTIF(Hiring_Data!M5:M24,"Q2")</f>
        <v>12</v>
      </c>
      <c r="H20" s="20">
        <f>COUNTIFS(Hiring_Data!M5:M24,"Q2",Hiring_Data!H5:H24,"Filled")</f>
        <v>6</v>
      </c>
      <c r="I20" s="23">
        <f>IFERROR(COUNTIFS(Hiring_Data!M5:M24,"Q2",Hiring_Data!H5:H24,"Filled")/COUNTIF(Hiring_Data!M5:M24,"Q2"),"-")</f>
        <v>0.5</v>
      </c>
    </row>
    <row r="21" spans="1:9" x14ac:dyDescent="0.35">
      <c r="A21" s="16" t="s">
        <v>33</v>
      </c>
      <c r="B21" s="17">
        <f>COUNTIF(Hiring_Data!L5:L24,"Referral")</f>
        <v>3</v>
      </c>
      <c r="C21" s="17">
        <f>COUNTIFS(Hiring_Data!L5:L24,"Referral",Hiring_Data!H5:H24,"Filled")</f>
        <v>2</v>
      </c>
      <c r="D21" s="22">
        <f>IFERROR(COUNTIFS(Hiring_Data!L5:L24,"Referral",Hiring_Data!H5:H24,"Filled")/COUNTIF(Hiring_Data!L5:L24,"Referral"),"-")</f>
        <v>0.66666666666666663</v>
      </c>
    </row>
    <row r="22" spans="1:9" x14ac:dyDescent="0.35">
      <c r="A22" s="19" t="s">
        <v>54</v>
      </c>
      <c r="B22" s="20">
        <f>COUNTIF(Hiring_Data!L5:L24,"GitHub Jobs")</f>
        <v>1</v>
      </c>
      <c r="C22" s="20">
        <f>COUNTIFS(Hiring_Data!L5:L24,"GitHub Jobs",Hiring_Data!H5:H24,"Filled")</f>
        <v>1</v>
      </c>
      <c r="D22" s="23">
        <f>IFERROR(COUNTIFS(Hiring_Data!L5:L24,"GitHub Jobs",Hiring_Data!H5:H24,"Filled")/COUNTIF(Hiring_Data!L5:L24,"GitHub Jobs"),"-")</f>
        <v>1</v>
      </c>
    </row>
    <row r="23" spans="1:9" x14ac:dyDescent="0.35">
      <c r="A23" s="16" t="s">
        <v>73</v>
      </c>
      <c r="B23" s="17">
        <f>COUNTIF(Hiring_Data!L5:L24,"Dribbble")</f>
        <v>1</v>
      </c>
      <c r="C23" s="17">
        <f>COUNTIFS(Hiring_Data!L5:L24,"Dribbble",Hiring_Data!H5:H24,"Filled")</f>
        <v>1</v>
      </c>
      <c r="D23" s="22">
        <f>IFERROR(COUNTIFS(Hiring_Data!L5:L24,"Dribbble",Hiring_Data!H5:H24,"Filled")/COUNTIF(Hiring_Data!L5:L24,"Dribbble"),"-")</f>
        <v>1</v>
      </c>
    </row>
    <row r="26" spans="1:9" x14ac:dyDescent="0.35">
      <c r="A26" t="s">
        <v>128</v>
      </c>
    </row>
    <row r="27" spans="1:9" x14ac:dyDescent="0.35">
      <c r="A27" t="s">
        <v>131</v>
      </c>
    </row>
    <row r="28" spans="1:9" x14ac:dyDescent="0.35">
      <c r="A28" t="s">
        <v>129</v>
      </c>
    </row>
    <row r="29" spans="1:9" x14ac:dyDescent="0.35">
      <c r="A29" t="s">
        <v>130</v>
      </c>
    </row>
  </sheetData>
  <mergeCells count="6">
    <mergeCell ref="A1:I1"/>
    <mergeCell ref="A3:I3"/>
    <mergeCell ref="A7:D7"/>
    <mergeCell ref="F7:I7"/>
    <mergeCell ref="A17:D17"/>
    <mergeCell ref="F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G8"/>
  <sheetViews>
    <sheetView zoomScaleNormal="100" workbookViewId="0"/>
  </sheetViews>
  <sheetFormatPr defaultColWidth="8.6328125" defaultRowHeight="14.5" x14ac:dyDescent="0.35"/>
  <cols>
    <col min="1" max="3" width="16" customWidth="1"/>
    <col min="5" max="6" width="20" customWidth="1"/>
    <col min="7" max="7" width="16" customWidth="1"/>
  </cols>
  <sheetData>
    <row r="1" spans="1:7" ht="27.75" customHeight="1" x14ac:dyDescent="0.35">
      <c r="A1" s="1" t="s">
        <v>113</v>
      </c>
      <c r="B1" s="1"/>
      <c r="C1" s="1"/>
    </row>
    <row r="3" spans="1:7" x14ac:dyDescent="0.35">
      <c r="A3" s="15" t="s">
        <v>9</v>
      </c>
      <c r="B3" s="15" t="s">
        <v>114</v>
      </c>
      <c r="C3" s="15" t="s">
        <v>115</v>
      </c>
      <c r="E3" s="15" t="s">
        <v>4</v>
      </c>
      <c r="F3" s="15" t="s">
        <v>116</v>
      </c>
      <c r="G3" s="15" t="s">
        <v>3</v>
      </c>
    </row>
    <row r="4" spans="1:7" x14ac:dyDescent="0.35">
      <c r="A4" s="16" t="s">
        <v>84</v>
      </c>
      <c r="B4" s="24">
        <v>45000</v>
      </c>
      <c r="C4" s="24">
        <v>60000</v>
      </c>
      <c r="E4" s="16" t="s">
        <v>19</v>
      </c>
      <c r="F4" s="16" t="s">
        <v>117</v>
      </c>
      <c r="G4" s="16" t="s">
        <v>18</v>
      </c>
    </row>
    <row r="5" spans="1:7" x14ac:dyDescent="0.35">
      <c r="A5" s="19" t="s">
        <v>58</v>
      </c>
      <c r="B5" s="25">
        <v>60000</v>
      </c>
      <c r="C5" s="25">
        <v>80000</v>
      </c>
      <c r="E5" s="19" t="s">
        <v>31</v>
      </c>
      <c r="F5" s="19" t="s">
        <v>118</v>
      </c>
      <c r="G5" s="19" t="s">
        <v>30</v>
      </c>
    </row>
    <row r="6" spans="1:7" x14ac:dyDescent="0.35">
      <c r="A6" s="16" t="s">
        <v>21</v>
      </c>
      <c r="B6" s="24">
        <v>80000</v>
      </c>
      <c r="C6" s="24">
        <v>105000</v>
      </c>
      <c r="E6" s="16" t="s">
        <v>39</v>
      </c>
      <c r="F6" s="16" t="s">
        <v>119</v>
      </c>
      <c r="G6" s="16" t="s">
        <v>38</v>
      </c>
    </row>
    <row r="7" spans="1:7" x14ac:dyDescent="0.35">
      <c r="A7" s="19" t="s">
        <v>32</v>
      </c>
      <c r="B7" s="25">
        <v>105000</v>
      </c>
      <c r="C7" s="25">
        <v>135000</v>
      </c>
      <c r="E7" s="19" t="s">
        <v>45</v>
      </c>
      <c r="F7" s="19" t="s">
        <v>120</v>
      </c>
      <c r="G7" s="19" t="s">
        <v>62</v>
      </c>
    </row>
    <row r="8" spans="1:7" x14ac:dyDescent="0.35">
      <c r="A8" s="16" t="s">
        <v>68</v>
      </c>
      <c r="B8" s="24">
        <v>135000</v>
      </c>
      <c r="C8" s="24">
        <v>175000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Roles by Department</vt:lpstr>
      <vt:lpstr>Avg Days by Recruiter</vt:lpstr>
      <vt:lpstr>Hiring_Data</vt:lpstr>
      <vt:lpstr>Summary_Dashboard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Joydip Ghoshal</cp:lastModifiedBy>
  <cp:revision>0</cp:revision>
  <dcterms:created xsi:type="dcterms:W3CDTF">2026-06-27T19:07:35Z</dcterms:created>
  <dcterms:modified xsi:type="dcterms:W3CDTF">2026-06-27T20:11:35Z</dcterms:modified>
  <dc:language>en-US</dc:language>
</cp:coreProperties>
</file>